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\Documents\GitHub\EP6003\Listas de ejercicios\"/>
    </mc:Choice>
  </mc:AlternateContent>
  <xr:revisionPtr revIDLastSave="0" documentId="8_{D605D9D1-7F5A-44B4-9643-12A4DA375010}" xr6:coauthVersionLast="47" xr6:coauthVersionMax="47" xr10:uidLastSave="{00000000-0000-0000-0000-000000000000}"/>
  <bookViews>
    <workbookView xWindow="-108" yWindow="-108" windowWidth="23256" windowHeight="12456" xr2:uid="{1AC6383E-5F7A-48F4-A2BB-CCC85E5A70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F14" i="1"/>
  <c r="D14" i="1"/>
  <c r="H12" i="1"/>
  <c r="F12" i="1"/>
  <c r="D12" i="1"/>
  <c r="H10" i="1"/>
  <c r="F10" i="1"/>
  <c r="D10" i="1"/>
  <c r="H8" i="1"/>
  <c r="F8" i="1"/>
  <c r="D8" i="1"/>
  <c r="H6" i="1"/>
  <c r="F6" i="1"/>
  <c r="D6" i="1"/>
  <c r="H4" i="1"/>
  <c r="F4" i="1"/>
  <c r="D4" i="1"/>
</calcChain>
</file>

<file path=xl/sharedStrings.xml><?xml version="1.0" encoding="utf-8"?>
<sst xmlns="http://schemas.openxmlformats.org/spreadsheetml/2006/main" count="30" uniqueCount="19">
  <si>
    <t>Modelo</t>
  </si>
  <si>
    <t>Puntaje ~ Estudio*Curso + poly(Sueno,3)</t>
  </si>
  <si>
    <t>RMSE</t>
  </si>
  <si>
    <t>MAE</t>
  </si>
  <si>
    <t>R²</t>
  </si>
  <si>
    <t>train</t>
  </si>
  <si>
    <t>test</t>
  </si>
  <si>
    <t>Multicolinealidad</t>
  </si>
  <si>
    <t>Sin problemas</t>
  </si>
  <si>
    <t>Significancia</t>
  </si>
  <si>
    <t>efecto cúbico del sueño no es significativo, la interacción estudio x curso no es significativa</t>
  </si>
  <si>
    <t>efecto cúbico del sueño no es significativo</t>
  </si>
  <si>
    <t>Puntaje ~ Estudio + Curso + poly(Sueno,3)</t>
  </si>
  <si>
    <t>Puntaje ~ Estudio*Curso + poly(Sueno,2)</t>
  </si>
  <si>
    <t>interacción estudio x curso no es significativa</t>
  </si>
  <si>
    <t>Puntaje ~ Estudio + Curso + poly(Sueno,2)</t>
  </si>
  <si>
    <t>todas las variables aportan</t>
  </si>
  <si>
    <t>Puntaje ~ Estudio*Curso + Sueno</t>
  </si>
  <si>
    <t>Puntaje ~ Estudio + Curso + Sueno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</si>
</sst>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0" fontId="3" fillId="0" borderId="0" xfId="1" applyNumberFormat="1" applyFont="1"/>
    <xf numFmtId="0" fontId="3" fillId="0" borderId="0" xfId="0" applyFont="1"/>
    <xf numFmtId="0" fontId="0" fillId="2" borderId="0" xfId="0" applyFill="1"/>
    <xf numFmtId="0" fontId="2" fillId="2" borderId="0" xfId="0" applyFont="1" applyFill="1"/>
    <xf numFmtId="10" fontId="3" fillId="2" borderId="0" xfId="1" applyNumberFormat="1" applyFont="1" applyFill="1"/>
    <xf numFmtId="0" fontId="3" fillId="2" borderId="0" xfId="0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E654-4246-4AFB-9CEB-106582FD3895}">
  <dimension ref="A1:K14"/>
  <sheetViews>
    <sheetView tabSelected="1" zoomScaleNormal="100" workbookViewId="0">
      <selection activeCell="H18" sqref="H18"/>
    </sheetView>
  </sheetViews>
  <sheetFormatPr baseColWidth="10" defaultRowHeight="14.4" x14ac:dyDescent="0.3"/>
  <cols>
    <col min="1" max="1" width="6.6640625" customWidth="1"/>
    <col min="2" max="2" width="34.6640625" customWidth="1"/>
    <col min="9" max="9" width="15.33203125" style="1" bestFit="1" customWidth="1"/>
    <col min="10" max="10" width="18.5546875" style="1" customWidth="1"/>
  </cols>
  <sheetData>
    <row r="1" spans="1:11" x14ac:dyDescent="0.3">
      <c r="C1" t="s">
        <v>2</v>
      </c>
      <c r="E1" t="s">
        <v>3</v>
      </c>
      <c r="G1" t="s">
        <v>4</v>
      </c>
      <c r="I1" s="1" t="s">
        <v>7</v>
      </c>
      <c r="J1" s="1" t="s">
        <v>9</v>
      </c>
    </row>
    <row r="2" spans="1:11" x14ac:dyDescent="0.3">
      <c r="A2" t="s">
        <v>0</v>
      </c>
      <c r="C2" t="s">
        <v>5</v>
      </c>
      <c r="D2" t="s">
        <v>6</v>
      </c>
      <c r="E2" t="s">
        <v>5</v>
      </c>
      <c r="F2" t="s">
        <v>6</v>
      </c>
      <c r="G2" t="s">
        <v>5</v>
      </c>
      <c r="H2" t="s">
        <v>6</v>
      </c>
    </row>
    <row r="3" spans="1:11" x14ac:dyDescent="0.3">
      <c r="A3" s="4">
        <v>1</v>
      </c>
      <c r="B3" s="4" t="s">
        <v>1</v>
      </c>
      <c r="C3" s="4">
        <v>5.3609999999999998</v>
      </c>
      <c r="D3" s="4">
        <v>5.6909999999999998</v>
      </c>
      <c r="E3" s="4">
        <v>4.2880000000000003</v>
      </c>
      <c r="F3" s="4">
        <v>4.5640000000000001</v>
      </c>
      <c r="G3" s="4">
        <v>0.7</v>
      </c>
      <c r="H3" s="4">
        <v>0.72499999999999998</v>
      </c>
      <c r="I3" s="5" t="s">
        <v>8</v>
      </c>
      <c r="J3" s="5" t="s">
        <v>10</v>
      </c>
      <c r="K3" s="4"/>
    </row>
    <row r="4" spans="1:11" x14ac:dyDescent="0.3">
      <c r="A4" s="4"/>
      <c r="B4" s="4"/>
      <c r="C4" s="4"/>
      <c r="D4" s="6">
        <f>+(D3-C3)/C3</f>
        <v>6.1555679910464484E-2</v>
      </c>
      <c r="E4" s="4"/>
      <c r="F4" s="6">
        <f>+(F3-E3)/E3</f>
        <v>6.4365671641790995E-2</v>
      </c>
      <c r="G4" s="4"/>
      <c r="H4" s="7">
        <f>+(H3-G3)</f>
        <v>2.5000000000000022E-2</v>
      </c>
      <c r="I4" s="5"/>
      <c r="J4" s="5"/>
      <c r="K4" s="4"/>
    </row>
    <row r="5" spans="1:11" x14ac:dyDescent="0.3">
      <c r="A5" s="4">
        <v>2</v>
      </c>
      <c r="B5" s="4" t="s">
        <v>12</v>
      </c>
      <c r="C5" s="4">
        <v>5.3659999999999997</v>
      </c>
      <c r="D5" s="4">
        <v>5.7069999999999999</v>
      </c>
      <c r="E5" s="4">
        <v>4.2949999999999999</v>
      </c>
      <c r="F5" s="4">
        <v>4.5620000000000003</v>
      </c>
      <c r="G5" s="4">
        <v>0.69899999999999995</v>
      </c>
      <c r="H5" s="4">
        <v>0.72299999999999998</v>
      </c>
      <c r="I5" s="5" t="s">
        <v>8</v>
      </c>
      <c r="J5" s="5" t="s">
        <v>11</v>
      </c>
      <c r="K5" s="4"/>
    </row>
    <row r="6" spans="1:11" x14ac:dyDescent="0.3">
      <c r="A6" s="4"/>
      <c r="B6" s="4"/>
      <c r="C6" s="4"/>
      <c r="D6" s="6">
        <f>+(D5-C5)/C5</f>
        <v>6.3548266865449163E-2</v>
      </c>
      <c r="E6" s="4"/>
      <c r="F6" s="6">
        <f>+(F5-E5)/E5</f>
        <v>6.2165308498253864E-2</v>
      </c>
      <c r="G6" s="4"/>
      <c r="H6" s="7">
        <f>+(H5-G5)</f>
        <v>2.4000000000000021E-2</v>
      </c>
      <c r="I6" s="5"/>
      <c r="J6" s="5"/>
      <c r="K6" s="4"/>
    </row>
    <row r="7" spans="1:11" x14ac:dyDescent="0.3">
      <c r="A7" s="4">
        <v>3</v>
      </c>
      <c r="B7" s="4" t="s">
        <v>13</v>
      </c>
      <c r="C7" s="4">
        <v>5.3620000000000001</v>
      </c>
      <c r="D7" s="4">
        <v>5.6980000000000004</v>
      </c>
      <c r="E7" s="4">
        <v>4.2839999999999998</v>
      </c>
      <c r="F7" s="4">
        <v>4.5620000000000003</v>
      </c>
      <c r="G7" s="4">
        <v>0.69899999999999995</v>
      </c>
      <c r="H7" s="4">
        <v>0.72399999999999998</v>
      </c>
      <c r="I7" s="5" t="s">
        <v>8</v>
      </c>
      <c r="J7" s="5" t="s">
        <v>14</v>
      </c>
      <c r="K7" s="4"/>
    </row>
    <row r="8" spans="1:11" x14ac:dyDescent="0.3">
      <c r="A8" s="4"/>
      <c r="B8" s="4"/>
      <c r="C8" s="4"/>
      <c r="D8" s="6">
        <f>+(D7-C7)/C7</f>
        <v>6.2663185378590128E-2</v>
      </c>
      <c r="E8" s="4"/>
      <c r="F8" s="6">
        <f>+(F7-E7)/E7</f>
        <v>6.4892623716153244E-2</v>
      </c>
      <c r="G8" s="4"/>
      <c r="H8" s="7">
        <f>+(H7-G7)</f>
        <v>2.5000000000000022E-2</v>
      </c>
      <c r="I8" s="5"/>
      <c r="J8" s="5"/>
      <c r="K8" s="4"/>
    </row>
    <row r="9" spans="1:11" x14ac:dyDescent="0.3">
      <c r="A9">
        <v>4</v>
      </c>
      <c r="B9" t="s">
        <v>15</v>
      </c>
      <c r="C9">
        <v>5.367</v>
      </c>
      <c r="D9">
        <v>5.7149999999999999</v>
      </c>
      <c r="E9">
        <v>4.2919999999999998</v>
      </c>
      <c r="F9">
        <v>4.5599999999999996</v>
      </c>
      <c r="G9">
        <v>0.69899999999999995</v>
      </c>
      <c r="H9">
        <v>0.72199999999999998</v>
      </c>
      <c r="I9" s="1" t="s">
        <v>8</v>
      </c>
      <c r="J9" s="1" t="s">
        <v>16</v>
      </c>
    </row>
    <row r="10" spans="1:11" x14ac:dyDescent="0.3">
      <c r="D10" s="2">
        <f>+(D9-C9)/C9</f>
        <v>6.4840693124650614E-2</v>
      </c>
      <c r="F10" s="2">
        <f>+(F9-E9)/E9</f>
        <v>6.2441752096924465E-2</v>
      </c>
      <c r="H10" s="3">
        <f>+(H9-G9)</f>
        <v>2.300000000000002E-2</v>
      </c>
    </row>
    <row r="11" spans="1:11" x14ac:dyDescent="0.3">
      <c r="A11" s="4">
        <v>5</v>
      </c>
      <c r="B11" s="4" t="s">
        <v>17</v>
      </c>
      <c r="C11" s="4">
        <v>5.399</v>
      </c>
      <c r="D11" s="4">
        <v>5.8259999999999996</v>
      </c>
      <c r="E11" s="4">
        <v>4.3220000000000001</v>
      </c>
      <c r="F11" s="4">
        <v>4.6180000000000003</v>
      </c>
      <c r="G11" s="4">
        <v>0.69499999999999995</v>
      </c>
      <c r="H11" s="4">
        <v>0.71</v>
      </c>
      <c r="I11" s="5" t="s">
        <v>8</v>
      </c>
      <c r="J11" s="5" t="s">
        <v>14</v>
      </c>
      <c r="K11" s="4"/>
    </row>
    <row r="12" spans="1:11" x14ac:dyDescent="0.3">
      <c r="A12" s="4"/>
      <c r="B12" s="4"/>
      <c r="C12" s="4"/>
      <c r="D12" s="6">
        <f>+(D11-C11)/C11</f>
        <v>7.9088720133357951E-2</v>
      </c>
      <c r="E12" s="4"/>
      <c r="F12" s="6">
        <f>+(F11-E11)/E11</f>
        <v>6.8486811661267993E-2</v>
      </c>
      <c r="G12" s="4"/>
      <c r="H12" s="7">
        <f>+(H11-G11)</f>
        <v>1.5000000000000013E-2</v>
      </c>
      <c r="I12" s="5"/>
      <c r="J12" s="5"/>
      <c r="K12" s="4"/>
    </row>
    <row r="13" spans="1:11" x14ac:dyDescent="0.3">
      <c r="A13">
        <v>6</v>
      </c>
      <c r="B13" t="s">
        <v>18</v>
      </c>
      <c r="C13">
        <v>5.4050000000000002</v>
      </c>
      <c r="D13">
        <v>5.8479999999999999</v>
      </c>
      <c r="E13">
        <v>4.33</v>
      </c>
      <c r="F13">
        <v>4.6269999999999998</v>
      </c>
      <c r="G13">
        <v>0.69499999999999995</v>
      </c>
      <c r="H13">
        <v>0.70699999999999996</v>
      </c>
      <c r="I13" s="1" t="s">
        <v>8</v>
      </c>
      <c r="J13" s="1" t="s">
        <v>16</v>
      </c>
    </row>
    <row r="14" spans="1:11" x14ac:dyDescent="0.3">
      <c r="D14" s="2">
        <f>+(D13-C13)/C13</f>
        <v>8.1961147086031375E-2</v>
      </c>
      <c r="F14" s="2">
        <f>+(F13-E13)/E13</f>
        <v>6.8591224018475686E-2</v>
      </c>
      <c r="H14" s="3">
        <f>+(H13-G13)</f>
        <v>1.2000000000000011E-2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Eduardo Gamboa</dc:creator>
  <cp:lastModifiedBy>Jesús Eduardo Gamboa</cp:lastModifiedBy>
  <dcterms:created xsi:type="dcterms:W3CDTF">2026-02-12T00:28:21Z</dcterms:created>
  <dcterms:modified xsi:type="dcterms:W3CDTF">2026-02-12T01:12:34Z</dcterms:modified>
</cp:coreProperties>
</file>